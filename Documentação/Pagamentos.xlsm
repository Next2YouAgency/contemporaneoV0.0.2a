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wamp\www\Contemporaneo\contemporaneoV0.0.1.1e\Documentação\"/>
    </mc:Choice>
  </mc:AlternateContent>
  <bookViews>
    <workbookView xWindow="0" yWindow="0" windowWidth="7476" windowHeight="2760" activeTab="1"/>
  </bookViews>
  <sheets>
    <sheet name="info" sheetId="1" r:id="rId1"/>
    <sheet name="parcela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H3" i="2"/>
  <c r="K20" i="2" l="1"/>
  <c r="H20" i="2"/>
  <c r="E20" i="2"/>
  <c r="B20" i="2"/>
  <c r="K13" i="2"/>
  <c r="H13" i="2"/>
  <c r="E13" i="2"/>
  <c r="K6" i="2"/>
  <c r="E6" i="2"/>
  <c r="B17" i="2"/>
  <c r="E17" i="2"/>
  <c r="H17" i="2"/>
  <c r="K17" i="2"/>
  <c r="K10" i="2"/>
  <c r="H10" i="2"/>
  <c r="E10" i="2"/>
  <c r="B10" i="2"/>
  <c r="K3" i="2"/>
  <c r="H6" i="2"/>
  <c r="E3" i="2"/>
  <c r="B3" i="2"/>
  <c r="K19" i="2"/>
  <c r="H19" i="2"/>
  <c r="E19" i="2"/>
  <c r="B19" i="2"/>
  <c r="K12" i="2"/>
  <c r="H12" i="2"/>
  <c r="E12" i="2"/>
  <c r="B12" i="2"/>
  <c r="K5" i="2"/>
  <c r="H5" i="2"/>
  <c r="E5" i="2"/>
  <c r="B5" i="2"/>
  <c r="G2" i="1" s="1"/>
  <c r="B3" i="1"/>
  <c r="B4" i="1" s="1"/>
  <c r="G3" i="1" l="1"/>
  <c r="B6" i="2"/>
  <c r="B13" i="2"/>
  <c r="B5" i="1"/>
  <c r="B6" i="1" s="1"/>
  <c r="G5" i="1" l="1"/>
</calcChain>
</file>

<file path=xl/sharedStrings.xml><?xml version="1.0" encoding="utf-8"?>
<sst xmlns="http://schemas.openxmlformats.org/spreadsheetml/2006/main" count="87" uniqueCount="27">
  <si>
    <t>Total</t>
  </si>
  <si>
    <t>Sinal</t>
  </si>
  <si>
    <t>Extra</t>
  </si>
  <si>
    <t>Acordado</t>
  </si>
  <si>
    <t>Mensal</t>
  </si>
  <si>
    <t>Valor</t>
  </si>
  <si>
    <t>Parcela</t>
  </si>
  <si>
    <t>Pag</t>
  </si>
  <si>
    <t>ok</t>
  </si>
  <si>
    <t>Pago</t>
  </si>
  <si>
    <t>Fev</t>
  </si>
  <si>
    <t>Março</t>
  </si>
  <si>
    <t>Abril</t>
  </si>
  <si>
    <t>Maio</t>
  </si>
  <si>
    <t>Jan</t>
  </si>
  <si>
    <t>Total Pago</t>
  </si>
  <si>
    <t>Parc</t>
  </si>
  <si>
    <t>Junho</t>
  </si>
  <si>
    <t>Agosto</t>
  </si>
  <si>
    <t>Setembro</t>
  </si>
  <si>
    <t>Outubro</t>
  </si>
  <si>
    <t>Julho</t>
  </si>
  <si>
    <t>Novembro</t>
  </si>
  <si>
    <t>Dezembro</t>
  </si>
  <si>
    <t>Pagamento do Projeto</t>
  </si>
  <si>
    <t>Parcelas pagas</t>
  </si>
  <si>
    <t>Mensalidades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</si>
</sst>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44" fontId="0" fillId="0" borderId="0" xfId="0" applyNumberFormat="1"/>
    <xf numFmtId="0" fontId="0" fillId="0" borderId="1" xfId="0" applyBorder="1"/>
    <xf numFmtId="44" fontId="0" fillId="0" borderId="1" xfId="1" applyFont="1" applyBorder="1"/>
    <xf numFmtId="44" fontId="0" fillId="0" borderId="1" xfId="0" applyNumberFormat="1" applyBorder="1"/>
    <xf numFmtId="0" fontId="0" fillId="0" borderId="1" xfId="0" applyBorder="1" applyAlignment="1"/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137160</xdr:rowOff>
        </xdr:from>
        <xdr:to>
          <xdr:col>4</xdr:col>
          <xdr:colOff>556260</xdr:colOff>
          <xdr:row>8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182880</xdr:rowOff>
        </xdr:from>
        <xdr:to>
          <xdr:col>14</xdr:col>
          <xdr:colOff>30480</xdr:colOff>
          <xdr:row>6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0"/>
  <sheetViews>
    <sheetView zoomScale="160" zoomScaleNormal="160" workbookViewId="0">
      <selection activeCell="D5" sqref="D5:F5"/>
    </sheetView>
  </sheetViews>
  <sheetFormatPr defaultRowHeight="14.4" x14ac:dyDescent="0.3"/>
  <cols>
    <col min="1" max="1" width="5.44140625" bestFit="1" customWidth="1"/>
    <col min="2" max="2" width="12.109375" bestFit="1" customWidth="1"/>
    <col min="3" max="3" width="1.6640625" customWidth="1"/>
    <col min="4" max="4" width="7.44140625" bestFit="1" customWidth="1"/>
    <col min="5" max="5" width="10.5546875" bestFit="1" customWidth="1"/>
    <col min="6" max="6" width="1.44140625" customWidth="1"/>
    <col min="7" max="7" width="7.44140625" bestFit="1" customWidth="1"/>
    <col min="8" max="8" width="10.5546875" bestFit="1" customWidth="1"/>
    <col min="9" max="9" width="1.44140625" customWidth="1"/>
    <col min="10" max="10" width="11.88671875" bestFit="1" customWidth="1"/>
    <col min="11" max="11" width="10.5546875" bestFit="1" customWidth="1"/>
    <col min="12" max="12" width="1.44140625" customWidth="1"/>
    <col min="13" max="13" width="7.44140625" bestFit="1" customWidth="1"/>
    <col min="14" max="14" width="10.5546875" bestFit="1" customWidth="1"/>
    <col min="15" max="15" width="1.44140625" customWidth="1"/>
    <col min="16" max="16" width="7.44140625" bestFit="1" customWidth="1"/>
    <col min="17" max="17" width="10.5546875" bestFit="1" customWidth="1"/>
  </cols>
  <sheetData>
    <row r="1" spans="1:10" x14ac:dyDescent="0.3">
      <c r="A1" s="6" t="s">
        <v>3</v>
      </c>
      <c r="B1" s="6"/>
      <c r="D1" s="6" t="s">
        <v>25</v>
      </c>
      <c r="E1" s="6"/>
      <c r="F1" s="6"/>
      <c r="G1" s="7">
        <f>+IF(parcelas!B2="ok",parcelas!B3,0)+IF(parcelas!E2="ok",parcelas!E3,0)+IF(parcelas!H2="ok",parcelas!H3,0)+IF(parcelas!K2="ok",parcelas!K3,0)+IF(parcelas!B9="ok",parcelas!B10,0)</f>
        <v>1050</v>
      </c>
      <c r="H1" s="7"/>
    </row>
    <row r="2" spans="1:10" x14ac:dyDescent="0.3">
      <c r="A2" s="2" t="s">
        <v>0</v>
      </c>
      <c r="B2" s="3">
        <v>2200</v>
      </c>
      <c r="D2" s="6" t="s">
        <v>26</v>
      </c>
      <c r="E2" s="6"/>
      <c r="F2" s="6"/>
      <c r="G2" s="7">
        <f>+IF(parcelas!B4="ok",parcelas!B5,0)+IF(parcelas!E4="ok",parcelas!E5,0)+IF(parcelas!H4="ok",parcelas!H5,0)+IF(parcelas!K4="ok",parcelas!K5,0)</f>
        <v>240</v>
      </c>
      <c r="H2" s="7"/>
    </row>
    <row r="3" spans="1:10" x14ac:dyDescent="0.3">
      <c r="A3" s="2" t="s">
        <v>1</v>
      </c>
      <c r="B3" s="3">
        <f>B2*30%</f>
        <v>660</v>
      </c>
      <c r="D3" s="6" t="s">
        <v>24</v>
      </c>
      <c r="E3" s="6"/>
      <c r="F3" s="6"/>
      <c r="G3" s="7">
        <f>B5+G1</f>
        <v>1750</v>
      </c>
      <c r="H3" s="7"/>
      <c r="J3" s="1"/>
    </row>
    <row r="4" spans="1:10" x14ac:dyDescent="0.3">
      <c r="A4" s="2" t="s">
        <v>2</v>
      </c>
      <c r="B4" s="3">
        <f>700-B3</f>
        <v>40</v>
      </c>
      <c r="D4" s="9"/>
      <c r="E4" s="9"/>
      <c r="F4" s="9"/>
      <c r="G4" s="8"/>
      <c r="H4" s="8"/>
    </row>
    <row r="5" spans="1:10" x14ac:dyDescent="0.3">
      <c r="A5" s="2" t="s">
        <v>1</v>
      </c>
      <c r="B5" s="4">
        <f>B3+B4</f>
        <v>700</v>
      </c>
      <c r="D5" s="6" t="s">
        <v>15</v>
      </c>
      <c r="E5" s="6"/>
      <c r="F5" s="6"/>
      <c r="G5" s="7">
        <f>G2+G3</f>
        <v>1990</v>
      </c>
      <c r="H5" s="7"/>
    </row>
    <row r="6" spans="1:10" x14ac:dyDescent="0.3">
      <c r="A6" s="2" t="s">
        <v>16</v>
      </c>
      <c r="B6" s="4">
        <f>B2-B5</f>
        <v>1500</v>
      </c>
    </row>
    <row r="9" spans="1:10" x14ac:dyDescent="0.3">
      <c r="G9" s="1"/>
    </row>
    <row r="10" spans="1:10" x14ac:dyDescent="0.3">
      <c r="G10" s="1"/>
    </row>
  </sheetData>
  <mergeCells count="11">
    <mergeCell ref="G5:H5"/>
    <mergeCell ref="D1:F1"/>
    <mergeCell ref="D2:F2"/>
    <mergeCell ref="D3:F3"/>
    <mergeCell ref="D4:F4"/>
    <mergeCell ref="D5:F5"/>
    <mergeCell ref="A1:B1"/>
    <mergeCell ref="G1:H1"/>
    <mergeCell ref="G2:H2"/>
    <mergeCell ref="G3:H3"/>
    <mergeCell ref="G4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dastrar_pg">
                <anchor moveWithCells="1" sizeWithCells="1">
                  <from>
                    <xdr:col>3</xdr:col>
                    <xdr:colOff>114300</xdr:colOff>
                    <xdr:row>6</xdr:row>
                    <xdr:rowOff>137160</xdr:rowOff>
                  </from>
                  <to>
                    <xdr:col>4</xdr:col>
                    <xdr:colOff>556260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K20"/>
  <sheetViews>
    <sheetView tabSelected="1" zoomScale="115" zoomScaleNormal="115" workbookViewId="0">
      <selection activeCell="K2" sqref="K2"/>
    </sheetView>
  </sheetViews>
  <sheetFormatPr defaultRowHeight="14.4" x14ac:dyDescent="0.3"/>
  <cols>
    <col min="1" max="1" width="7.44140625" bestFit="1" customWidth="1"/>
    <col min="2" max="2" width="11.109375" bestFit="1" customWidth="1"/>
    <col min="3" max="3" width="1.6640625" customWidth="1"/>
    <col min="4" max="4" width="7.44140625" bestFit="1" customWidth="1"/>
    <col min="5" max="5" width="11.109375" bestFit="1" customWidth="1"/>
    <col min="6" max="6" width="1.6640625" customWidth="1"/>
    <col min="7" max="7" width="7.44140625" bestFit="1" customWidth="1"/>
    <col min="8" max="8" width="11.109375" bestFit="1" customWidth="1"/>
    <col min="9" max="9" width="1.6640625" customWidth="1"/>
    <col min="10" max="10" width="7.44140625" bestFit="1" customWidth="1"/>
    <col min="11" max="11" width="11.109375" bestFit="1" customWidth="1"/>
  </cols>
  <sheetData>
    <row r="1" spans="1:11" x14ac:dyDescent="0.3">
      <c r="A1" s="6" t="s">
        <v>14</v>
      </c>
      <c r="B1" s="6"/>
      <c r="D1" s="6" t="s">
        <v>10</v>
      </c>
      <c r="E1" s="6"/>
      <c r="G1" s="6" t="s">
        <v>11</v>
      </c>
      <c r="H1" s="6"/>
      <c r="J1" s="6" t="s">
        <v>12</v>
      </c>
      <c r="K1" s="6"/>
    </row>
    <row r="2" spans="1:11" x14ac:dyDescent="0.3">
      <c r="A2" s="5" t="s">
        <v>7</v>
      </c>
      <c r="B2" s="5" t="s">
        <v>8</v>
      </c>
      <c r="D2" s="5" t="s">
        <v>7</v>
      </c>
      <c r="E2" s="5" t="s">
        <v>8</v>
      </c>
      <c r="G2" s="5" t="s">
        <v>7</v>
      </c>
      <c r="H2" s="5" t="s">
        <v>8</v>
      </c>
      <c r="J2" s="5" t="s">
        <v>7</v>
      </c>
      <c r="K2" s="5"/>
    </row>
    <row r="3" spans="1:11" x14ac:dyDescent="0.3">
      <c r="A3" s="2" t="s">
        <v>6</v>
      </c>
      <c r="B3" s="3">
        <f>IF(B2="ok",300,0)</f>
        <v>300</v>
      </c>
      <c r="D3" s="2" t="s">
        <v>6</v>
      </c>
      <c r="E3" s="3">
        <f>IF(E2="ok",300,0)</f>
        <v>300</v>
      </c>
      <c r="G3" s="2" t="s">
        <v>6</v>
      </c>
      <c r="H3" s="3">
        <f>IF(H2="ok",450,0)</f>
        <v>450</v>
      </c>
      <c r="J3" s="2" t="s">
        <v>6</v>
      </c>
      <c r="K3" s="3">
        <f>IF(K2="ok",300,0)</f>
        <v>0</v>
      </c>
    </row>
    <row r="4" spans="1:11" x14ac:dyDescent="0.3">
      <c r="A4" s="2" t="s">
        <v>4</v>
      </c>
      <c r="B4" s="2" t="s">
        <v>8</v>
      </c>
      <c r="D4" s="2" t="s">
        <v>4</v>
      </c>
      <c r="E4" s="2" t="s">
        <v>8</v>
      </c>
      <c r="G4" s="2" t="s">
        <v>4</v>
      </c>
      <c r="H4" s="2"/>
      <c r="J4" s="2" t="s">
        <v>4</v>
      </c>
      <c r="K4" s="2"/>
    </row>
    <row r="5" spans="1:11" x14ac:dyDescent="0.3">
      <c r="A5" s="2" t="s">
        <v>5</v>
      </c>
      <c r="B5" s="4">
        <f>IF(B4="ok",120,0)</f>
        <v>120</v>
      </c>
      <c r="D5" s="2" t="s">
        <v>5</v>
      </c>
      <c r="E5" s="4">
        <f>IF(E4="ok",120,0)</f>
        <v>120</v>
      </c>
      <c r="G5" s="2" t="s">
        <v>5</v>
      </c>
      <c r="H5" s="4">
        <f>IF(H4="ok",120,0)</f>
        <v>0</v>
      </c>
      <c r="J5" s="2" t="s">
        <v>5</v>
      </c>
      <c r="K5" s="4">
        <f>IF(K4="ok",120,0)</f>
        <v>0</v>
      </c>
    </row>
    <row r="6" spans="1:11" x14ac:dyDescent="0.3">
      <c r="A6" s="2" t="s">
        <v>9</v>
      </c>
      <c r="B6" s="4">
        <f>IF(B2="ok",B3)+IF(B4="ok",B5)</f>
        <v>420</v>
      </c>
      <c r="D6" s="2" t="s">
        <v>9</v>
      </c>
      <c r="E6" s="4">
        <f>IF(E2="ok",E3)+IF(E4="ok",E5)</f>
        <v>420</v>
      </c>
      <c r="G6" s="2" t="s">
        <v>9</v>
      </c>
      <c r="H6" s="4">
        <f>IF(H2="ok",H3)+IF(H4="ok",H5)</f>
        <v>450</v>
      </c>
      <c r="J6" s="2" t="s">
        <v>9</v>
      </c>
      <c r="K6" s="4">
        <f>IF(K2="ok",K3)+IF(K4="ok",K5)</f>
        <v>0</v>
      </c>
    </row>
    <row r="8" spans="1:11" x14ac:dyDescent="0.3">
      <c r="A8" s="6" t="s">
        <v>13</v>
      </c>
      <c r="B8" s="6"/>
      <c r="D8" s="6" t="s">
        <v>17</v>
      </c>
      <c r="E8" s="6"/>
      <c r="G8" s="6" t="s">
        <v>21</v>
      </c>
      <c r="H8" s="6"/>
      <c r="J8" s="6" t="s">
        <v>18</v>
      </c>
      <c r="K8" s="6"/>
    </row>
    <row r="9" spans="1:11" x14ac:dyDescent="0.3">
      <c r="A9" s="5" t="s">
        <v>7</v>
      </c>
      <c r="B9" s="5"/>
      <c r="D9" s="5" t="s">
        <v>7</v>
      </c>
      <c r="E9" s="5"/>
      <c r="G9" s="5" t="s">
        <v>7</v>
      </c>
      <c r="H9" s="5"/>
      <c r="J9" s="5" t="s">
        <v>7</v>
      </c>
      <c r="K9" s="5"/>
    </row>
    <row r="10" spans="1:11" x14ac:dyDescent="0.3">
      <c r="A10" s="2" t="s">
        <v>6</v>
      </c>
      <c r="B10" s="3">
        <f>IF(B9="ok",300,0)</f>
        <v>0</v>
      </c>
      <c r="D10" s="2" t="s">
        <v>6</v>
      </c>
      <c r="E10" s="3">
        <f>IF(E9="ok",300,0)</f>
        <v>0</v>
      </c>
      <c r="G10" s="2" t="s">
        <v>6</v>
      </c>
      <c r="H10" s="3">
        <f>IF(H9="ok",300,0)</f>
        <v>0</v>
      </c>
      <c r="J10" s="2" t="s">
        <v>6</v>
      </c>
      <c r="K10" s="3">
        <f>IF(K9="ok",300,0)</f>
        <v>0</v>
      </c>
    </row>
    <row r="11" spans="1:11" x14ac:dyDescent="0.3">
      <c r="A11" s="2" t="s">
        <v>4</v>
      </c>
      <c r="B11" s="2"/>
      <c r="D11" s="2" t="s">
        <v>4</v>
      </c>
      <c r="E11" s="2"/>
      <c r="G11" s="2" t="s">
        <v>4</v>
      </c>
      <c r="H11" s="2"/>
      <c r="J11" s="2" t="s">
        <v>4</v>
      </c>
      <c r="K11" s="2"/>
    </row>
    <row r="12" spans="1:11" x14ac:dyDescent="0.3">
      <c r="A12" s="2" t="s">
        <v>5</v>
      </c>
      <c r="B12" s="4">
        <f>IF(B11="ok",120,0)</f>
        <v>0</v>
      </c>
      <c r="D12" s="2" t="s">
        <v>5</v>
      </c>
      <c r="E12" s="4">
        <f>IF(E11="ok",120,0)</f>
        <v>0</v>
      </c>
      <c r="G12" s="2" t="s">
        <v>5</v>
      </c>
      <c r="H12" s="4">
        <f>IF(H11="ok",120,0)</f>
        <v>0</v>
      </c>
      <c r="J12" s="2" t="s">
        <v>5</v>
      </c>
      <c r="K12" s="4">
        <f>IF(K11="ok",120,0)</f>
        <v>0</v>
      </c>
    </row>
    <row r="13" spans="1:11" x14ac:dyDescent="0.3">
      <c r="A13" s="2" t="s">
        <v>9</v>
      </c>
      <c r="B13" s="4">
        <f>IF(B9="ok",B10)+IF(B11="ok",B12)</f>
        <v>0</v>
      </c>
      <c r="D13" s="2" t="s">
        <v>9</v>
      </c>
      <c r="E13" s="4">
        <f>IF(E9="ok",E10)+IF(E11="ok",E12)</f>
        <v>0</v>
      </c>
      <c r="G13" s="2" t="s">
        <v>9</v>
      </c>
      <c r="H13" s="4">
        <f>IF(H9="ok",H10)+IF(H11="ok",H12)</f>
        <v>0</v>
      </c>
      <c r="J13" s="2" t="s">
        <v>9</v>
      </c>
      <c r="K13" s="4">
        <f>IF(K9="ok",K10)+IF(K11="ok",K12)</f>
        <v>0</v>
      </c>
    </row>
    <row r="15" spans="1:11" x14ac:dyDescent="0.3">
      <c r="A15" s="6" t="s">
        <v>19</v>
      </c>
      <c r="B15" s="6"/>
      <c r="D15" s="6" t="s">
        <v>20</v>
      </c>
      <c r="E15" s="6"/>
      <c r="G15" s="6" t="s">
        <v>22</v>
      </c>
      <c r="H15" s="6"/>
      <c r="J15" s="6" t="s">
        <v>23</v>
      </c>
      <c r="K15" s="6"/>
    </row>
    <row r="16" spans="1:11" x14ac:dyDescent="0.3">
      <c r="A16" s="5" t="s">
        <v>7</v>
      </c>
      <c r="B16" s="5"/>
      <c r="D16" s="5" t="s">
        <v>7</v>
      </c>
      <c r="E16" s="5"/>
      <c r="G16" s="5" t="s">
        <v>7</v>
      </c>
      <c r="H16" s="5"/>
      <c r="J16" s="5" t="s">
        <v>7</v>
      </c>
      <c r="K16" s="5"/>
    </row>
    <row r="17" spans="1:11" x14ac:dyDescent="0.3">
      <c r="A17" s="2" t="s">
        <v>6</v>
      </c>
      <c r="B17" s="3">
        <f>IF(B16="ok",300,0)</f>
        <v>0</v>
      </c>
      <c r="D17" s="2" t="s">
        <v>6</v>
      </c>
      <c r="E17" s="3">
        <f>IF(E16="ok",300,0)</f>
        <v>0</v>
      </c>
      <c r="G17" s="2" t="s">
        <v>6</v>
      </c>
      <c r="H17" s="3">
        <f>IF(H16="ok",300,0)</f>
        <v>0</v>
      </c>
      <c r="J17" s="2" t="s">
        <v>6</v>
      </c>
      <c r="K17" s="3">
        <f>IF(K16="ok",300,0)</f>
        <v>0</v>
      </c>
    </row>
    <row r="18" spans="1:11" x14ac:dyDescent="0.3">
      <c r="A18" s="2" t="s">
        <v>4</v>
      </c>
      <c r="B18" s="2"/>
      <c r="D18" s="2" t="s">
        <v>4</v>
      </c>
      <c r="E18" s="2"/>
      <c r="G18" s="2" t="s">
        <v>4</v>
      </c>
      <c r="H18" s="2"/>
      <c r="J18" s="2" t="s">
        <v>4</v>
      </c>
      <c r="K18" s="2"/>
    </row>
    <row r="19" spans="1:11" x14ac:dyDescent="0.3">
      <c r="A19" s="2" t="s">
        <v>5</v>
      </c>
      <c r="B19" s="4">
        <f>IF(B18="ok",120,0)</f>
        <v>0</v>
      </c>
      <c r="D19" s="2" t="s">
        <v>5</v>
      </c>
      <c r="E19" s="4">
        <f>IF(E18="ok",120,0)</f>
        <v>0</v>
      </c>
      <c r="G19" s="2" t="s">
        <v>5</v>
      </c>
      <c r="H19" s="4">
        <f>IF(H18="ok",120,0)</f>
        <v>0</v>
      </c>
      <c r="J19" s="2" t="s">
        <v>5</v>
      </c>
      <c r="K19" s="4">
        <f>IF(K18="ok",120,0)</f>
        <v>0</v>
      </c>
    </row>
    <row r="20" spans="1:11" x14ac:dyDescent="0.3">
      <c r="A20" s="2" t="s">
        <v>9</v>
      </c>
      <c r="B20" s="4">
        <f>IF(B16="ok",B17)+IF(B18="ok",B19)</f>
        <v>0</v>
      </c>
      <c r="D20" s="2" t="s">
        <v>9</v>
      </c>
      <c r="E20" s="4">
        <f>IF(E16="ok",E17)+IF(E18="ok",E19)</f>
        <v>0</v>
      </c>
      <c r="G20" s="2" t="s">
        <v>9</v>
      </c>
      <c r="H20" s="4">
        <f>IF(H16="ok",H17)+IF(H18="ok",H19)</f>
        <v>0</v>
      </c>
      <c r="J20" s="2" t="s">
        <v>9</v>
      </c>
      <c r="K20" s="4">
        <f>IF(K16="ok",K17)+IF(K18="ok",K19)</f>
        <v>0</v>
      </c>
    </row>
  </sheetData>
  <mergeCells count="12">
    <mergeCell ref="A15:B15"/>
    <mergeCell ref="D15:E15"/>
    <mergeCell ref="G15:H15"/>
    <mergeCell ref="J15:K15"/>
    <mergeCell ref="A8:B8"/>
    <mergeCell ref="A1:B1"/>
    <mergeCell ref="D1:E1"/>
    <mergeCell ref="G1:H1"/>
    <mergeCell ref="J1:K1"/>
    <mergeCell ref="D8:E8"/>
    <mergeCell ref="G8:H8"/>
    <mergeCell ref="J8:K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oltar">
                <anchor moveWithCells="1" sizeWithCells="1">
                  <from>
                    <xdr:col>12</xdr:col>
                    <xdr:colOff>38100</xdr:colOff>
                    <xdr:row>3</xdr:row>
                    <xdr:rowOff>182880</xdr:rowOff>
                  </from>
                  <to>
                    <xdr:col>14</xdr:col>
                    <xdr:colOff>30480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</vt:lpstr>
      <vt:lpstr>parcelas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Christian</dc:creator>
  <cp:lastModifiedBy>Hugo Christian</cp:lastModifiedBy>
  <dcterms:created xsi:type="dcterms:W3CDTF">2017-01-02T06:03:22Z</dcterms:created>
  <dcterms:modified xsi:type="dcterms:W3CDTF">2017-02-18T23:10:17Z</dcterms:modified>
</cp:coreProperties>
</file>